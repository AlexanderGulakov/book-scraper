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орівняння" sheetId="1" state="visible" r:id="rId3"/>
    <sheet name="Як рахувалось" sheetId="2" state="visible" r:id="rId4"/>
  </sheets>
  <definedNames>
    <definedName function="false" hidden="true" localSheetId="0" name="_xlnm._FilterDatabase" vbProcedure="false">Порівняння!$A$1:$M$25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<sst xmlns="http://schemas.openxmlformats.org/spreadsheetml/2006/main" count="166" uniqueCount="111">
  <si>
    <t xml:space="preserve">№</t>
  </si>
  <si>
    <t xml:space="preserve">Автор</t>
  </si>
  <si>
    <t xml:space="preserve">Назва</t>
  </si>
  <si>
    <t xml:space="preserve">Букфлі, грн</t>
  </si>
  <si>
    <t xml:space="preserve">OLX мін., грн</t>
  </si>
  <si>
    <t xml:space="preserve">Різниця, грн</t>
  </si>
  <si>
    <t xml:space="preserve">Різниця, %</t>
  </si>
  <si>
    <t xml:space="preserve">Де дешевше</t>
  </si>
  <si>
    <t xml:space="preserve">Релевантних оголошень на OLX</t>
  </si>
  <si>
    <t xml:space="preserve">Найдешевше оголошення на OLX</t>
  </si>
  <si>
    <t xml:space="preserve">Посилання OLX</t>
  </si>
  <si>
    <t xml:space="preserve">Посилання Букфлі</t>
  </si>
  <si>
    <t xml:space="preserve">Нотатка</t>
  </si>
  <si>
    <t xml:space="preserve">Дженіва Лі</t>
  </si>
  <si>
    <t xml:space="preserve">Непристойно багатий вампір. Книга 1</t>
  </si>
  <si>
    <t xml:space="preserve">Книга Непристойно багатий вампір, Дженіва Лі</t>
  </si>
  <si>
    <t xml:space="preserve">відкрити</t>
  </si>
  <si>
    <t xml:space="preserve">Дженніфер Л. Арментраут</t>
  </si>
  <si>
    <t xml:space="preserve">Спокушаючи шафера. Книга 1. Брати Ґембл</t>
  </si>
  <si>
    <t xml:space="preserve">Книга «Спокушаючи шафера» Дж. Л. Арментраут</t>
  </si>
  <si>
    <t xml:space="preserve">Є оголошення за 75 грн, але в описі вказана реальна ціна 180 грн — пропущене</t>
  </si>
  <si>
    <t xml:space="preserve">Маргарет Роджерсон</t>
  </si>
  <si>
    <t xml:space="preserve">Чаклунство шипів</t>
  </si>
  <si>
    <t xml:space="preserve">Чаклунство шипів Марґарет Роджерсон</t>
  </si>
  <si>
    <t xml:space="preserve">Шарі Лапена</t>
  </si>
  <si>
    <t xml:space="preserve">Незнайомка в домі</t>
  </si>
  <si>
    <t xml:space="preserve">Книга Шарі Лапена Незнайомка в домі</t>
  </si>
  <si>
    <t xml:space="preserve">Анна Савас</t>
  </si>
  <si>
    <t xml:space="preserve">Тримай мене. Новоанглійська балетна школа</t>
  </si>
  <si>
    <t xml:space="preserve">Анна Савас «Тримай мене» «Залишся поряд»</t>
  </si>
  <si>
    <t xml:space="preserve">Оголошення за 300 грн — на дві книги серії</t>
  </si>
  <si>
    <t xml:space="preserve">Буря і лють + Гнів і згуба + Велич і слава (3 кн.)</t>
  </si>
  <si>
    <t xml:space="preserve">Поштучно: 200 + 200 + 180 грн у трьох продавців</t>
  </si>
  <si>
    <t xml:space="preserve">Комплектом усі три на OLX — 730 грн (ID10Ivxa). 580 грн — сума трьох найдешевших окремо</t>
  </si>
  <si>
    <t xml:space="preserve">Нора Робертс</t>
  </si>
  <si>
    <t xml:space="preserve">Спадщина драконового серця: Пробудження + Становлення (2 кн.)</t>
  </si>
  <si>
    <t xml:space="preserve">Пробудження, спадщина драконового серця</t>
  </si>
  <si>
    <t xml:space="preserve">Ціна лише за «Пробудження». «Становлення» на OLX зараз немає — порівняння неповне</t>
  </si>
  <si>
    <t xml:space="preserve">Розі Уолш</t>
  </si>
  <si>
    <t xml:space="preserve">Сім щасливих днів</t>
  </si>
  <si>
    <t xml:space="preserve">Дот Хатчисон</t>
  </si>
  <si>
    <t xml:space="preserve">Сад Метеликів</t>
  </si>
  <si>
    <t xml:space="preserve">Сад метеликів Дот Гатчесон</t>
  </si>
  <si>
    <t xml:space="preserve">Дарина Гнатко</t>
  </si>
  <si>
    <t xml:space="preserve">Мазуревичі. Історія одного роду</t>
  </si>
  <si>
    <t xml:space="preserve">—</t>
  </si>
  <si>
    <t xml:space="preserve">лише Букфлі</t>
  </si>
  <si>
    <t xml:space="preserve">На OLX немає жодного оголошення — Букфлі єдина пропозиція</t>
  </si>
  <si>
    <t xml:space="preserve">Віоліна Ситнік</t>
  </si>
  <si>
    <t xml:space="preserve">Перший млинець</t>
  </si>
  <si>
    <t xml:space="preserve">«Перший млинець», Віоліна Ситнік. Видавництво ТАК</t>
  </si>
  <si>
    <t xml:space="preserve">На OLX лише 3 оголошення, усі дорожчі</t>
  </si>
  <si>
    <t xml:space="preserve">Грегорі Магвайр</t>
  </si>
  <si>
    <t xml:space="preserve">Wicked. Життя та часи Злої Відьми Заходу</t>
  </si>
  <si>
    <t xml:space="preserve">Wicked. Життя та часи Злої Відьми Заходу. Ґреґорі Маґвайр</t>
  </si>
  <si>
    <t xml:space="preserve">Кіра Касс</t>
  </si>
  <si>
    <t xml:space="preserve">Тисяча ударів серця</t>
  </si>
  <si>
    <t xml:space="preserve">Кіра Касс Тисяча ударів серця</t>
  </si>
  <si>
    <t xml:space="preserve">Ковадонґа О’Ші</t>
  </si>
  <si>
    <t xml:space="preserve">Феномен Zara</t>
  </si>
  <si>
    <t xml:space="preserve">Книга Феномен Zara</t>
  </si>
  <si>
    <t xml:space="preserve">Ханна Грейс</t>
  </si>
  <si>
    <t xml:space="preserve">І зійде крига</t>
  </si>
  <si>
    <t xml:space="preserve">Книга «І зійде крига»</t>
  </si>
  <si>
    <t xml:space="preserve">Кіяш Монсеф</t>
  </si>
  <si>
    <t xml:space="preserve">У давній давнині були створіння...</t>
  </si>
  <si>
    <t xml:space="preserve">У давній давнині були створіння, книга фентезі</t>
  </si>
  <si>
    <t xml:space="preserve">П. Клейнман</t>
  </si>
  <si>
    <t xml:space="preserve">Психологія 101: Факти, теорія, статистика, тести</t>
  </si>
  <si>
    <t xml:space="preserve">Пол Клейнман — «Психологія 101»</t>
  </si>
  <si>
    <t xml:space="preserve">Брюс Кемерон</t>
  </si>
  <si>
    <t xml:space="preserve">З любов'ю від Кленсі. Щоденник хорошого собаки</t>
  </si>
  <si>
    <t xml:space="preserve">Книга Брюс Кемерон «З любов'ю від Кленсі»</t>
  </si>
  <si>
    <t xml:space="preserve">Життя і мета собаки</t>
  </si>
  <si>
    <t xml:space="preserve">Клайв Стейплз Льюїс</t>
  </si>
  <si>
    <t xml:space="preserve">Хроніки Нарнії. Повна історія чарівного світу</t>
  </si>
  <si>
    <t xml:space="preserve">Книга Хроніки Нарнії повна історія чарівного світу</t>
  </si>
  <si>
    <t xml:space="preserve">Наступна ціна на OLX — уже 539 грн</t>
  </si>
  <si>
    <t xml:space="preserve">Стейсі Голлс</t>
  </si>
  <si>
    <t xml:space="preserve">Фамільяри</t>
  </si>
  <si>
    <t xml:space="preserve">Фамільяри Стейсі Голлс книга</t>
  </si>
  <si>
    <t xml:space="preserve">Коллін Гувер</t>
  </si>
  <si>
    <t xml:space="preserve">Кістки серця</t>
  </si>
  <si>
    <t xml:space="preserve">Коллін Гувер • Кістки серця</t>
  </si>
  <si>
    <t xml:space="preserve">Дженніфер Гартманн</t>
  </si>
  <si>
    <t xml:space="preserve">Поки б'ється серце</t>
  </si>
  <si>
    <t xml:space="preserve">Дженніфер Гартманн Поки б'ється серце</t>
  </si>
  <si>
    <t xml:space="preserve">Ентоні Берджес</t>
  </si>
  <si>
    <t xml:space="preserve">Заводний апельсин</t>
  </si>
  <si>
    <t xml:space="preserve">Заводний апельсин, Ентоні Берджесс</t>
  </si>
  <si>
    <t xml:space="preserve">Разом</t>
  </si>
  <si>
    <t xml:space="preserve">Дешевше на OLX, позицій</t>
  </si>
  <si>
    <t xml:space="preserve">Дешевше на Букфлі, позицій</t>
  </si>
  <si>
    <t xml:space="preserve">Приблизно однаково, позицій</t>
  </si>
  <si>
    <t xml:space="preserve">Немає на OLX, позицій</t>
  </si>
  <si>
    <t xml:space="preserve">Що це за файл</t>
  </si>
  <si>
    <t xml:space="preserve">Перша сторінка каталогу bookflea.co/search (24 оголошення, знято 2026-10-01) проти цін на OLX.</t>
  </si>
  <si>
    <t xml:space="preserve">Як шукалось на OLX</t>
  </si>
  <si>
    <t xml:space="preserve">Запит: https://www.olx.ua/api/v1/offers/ — ключова частина назви книги, сортування за ціною зростання,</t>
  </si>
  <si>
    <t xml:space="preserve">до 100 оголошень на книгу, лише гривневі ціни.</t>
  </si>
  <si>
    <t xml:space="preserve">Пошук OLX нечіткий, тому кожен результат додатково перевірявся локально: нормалізована назва</t>
  </si>
  <si>
    <t xml:space="preserve">оголошення має містити назву книги (регістр, апострофи ’ʼ' та ґ/г зведені до спільного вигляду).</t>
  </si>
  <si>
    <t xml:space="preserve">«Релевантних оголошень» у таблиці — скільки оголошень пройшли цю перевірку, а не скільки видав OLX.</t>
  </si>
  <si>
    <t xml:space="preserve">Перевірки якості</t>
  </si>
  <si>
    <t xml:space="preserve">Для кожного найдешевшого оголошення прочитано опис і звірено ціну в ньому з ціною в заголовку.</t>
  </si>
  <si>
    <t xml:space="preserve">Так відсіяно «Спокушаючи шафера» за 75 грн — в описі продавця стоїть 180 грн.</t>
  </si>
  <si>
    <t xml:space="preserve">Ціни OLX — без доставки та комісії OLX (часто +20–30 грн).</t>
  </si>
  <si>
    <t xml:space="preserve">Межі точності</t>
  </si>
  <si>
    <t xml:space="preserve">Книги-комплекти (рядки 6 і 7) порівнюються умовно: на OLX їх продають поштучно.</t>
  </si>
  <si>
    <t xml:space="preserve">Стан книги не враховано — на Букфлі та OLX він може відрізнятися.</t>
  </si>
  <si>
    <t xml:space="preserve">Ціни живі на 2026-10-01 і змінюються щодня.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</si>
</sst>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;[RED]\-#,##0;0"/>
    <numFmt numFmtId="167" formatCode="0%;[RED]\-0%;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i val="true"/>
      <sz val="9"/>
      <color rgb="FF7F6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7F6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olx.ua/d/uk/obyavlenie/kniga-nepristoyno-bagatiy-vampr-dzhenva-l-ID11mOeE.html" TargetMode="External"/><Relationship Id="rId2" Type="http://schemas.openxmlformats.org/officeDocument/2006/relationships/hyperlink" Target="https://www.bookflea.co/ads/oc3mhdxbdukgsar7q24262c3" TargetMode="External"/><Relationship Id="rId3" Type="http://schemas.openxmlformats.org/officeDocument/2006/relationships/hyperlink" Target="https://www.olx.ua/d/uk/obyavlenie/kniga-spokushayuchi-shafera-dzh-l-armentraut-ID10YCRr.html" TargetMode="External"/><Relationship Id="rId4" Type="http://schemas.openxmlformats.org/officeDocument/2006/relationships/hyperlink" Target="https://www.bookflea.co/ads/hpscfjq8v0iv6pocr3yrmsgn" TargetMode="External"/><Relationship Id="rId5" Type="http://schemas.openxmlformats.org/officeDocument/2006/relationships/hyperlink" Target="https://www.olx.ua/d/uk/obyavlenie/chaklunstvo-shipv-mararet-rodzherson-ID10WNFM.html" TargetMode="External"/><Relationship Id="rId6" Type="http://schemas.openxmlformats.org/officeDocument/2006/relationships/hyperlink" Target="https://www.bookflea.co/ads/ge4pbec5h9mbc0ifex7rrh65" TargetMode="External"/><Relationship Id="rId7" Type="http://schemas.openxmlformats.org/officeDocument/2006/relationships/hyperlink" Target="https://www.olx.ua/d/uk/obyavlenie/kniga-shar-lapena-neznayomka-v-dom-ID11kFxJ.html" TargetMode="External"/><Relationship Id="rId8" Type="http://schemas.openxmlformats.org/officeDocument/2006/relationships/hyperlink" Target="https://www.bookflea.co/ads/o6o9cr5bi7t8y8a7ouif1tm3" TargetMode="External"/><Relationship Id="rId9" Type="http://schemas.openxmlformats.org/officeDocument/2006/relationships/hyperlink" Target="https://www.olx.ua/d/uk/obyavlenie/anna-savas-trimay-mene-zalishsya-poryad-novoanglyska-baletna-shkola-ID10TCIh.html" TargetMode="External"/><Relationship Id="rId10" Type="http://schemas.openxmlformats.org/officeDocument/2006/relationships/hyperlink" Target="https://www.bookflea.co/ads/jitrkg6pqv36ibkyzgnv8if7" TargetMode="External"/><Relationship Id="rId11" Type="http://schemas.openxmlformats.org/officeDocument/2006/relationships/hyperlink" Target="https://www.olx.ua/d/uk/obyavlenie/burya-lyut-dzhennfer-armentraut-ID11ccQI.html" TargetMode="External"/><Relationship Id="rId12" Type="http://schemas.openxmlformats.org/officeDocument/2006/relationships/hyperlink" Target="https://www.bookflea.co/ads/g6f2y7tl02gphyhglmj3l1qa" TargetMode="External"/><Relationship Id="rId13" Type="http://schemas.openxmlformats.org/officeDocument/2006/relationships/hyperlink" Target="https://www.olx.ua/d/uk/obyavlenie/probudzhennya-spadschina-drakonovogo-sertsya-IDZnRpb.html" TargetMode="External"/><Relationship Id="rId14" Type="http://schemas.openxmlformats.org/officeDocument/2006/relationships/hyperlink" Target="https://www.bookflea.co/ads/jc5dzw4xpwozr5n8w8ijnsex" TargetMode="External"/><Relationship Id="rId15" Type="http://schemas.openxmlformats.org/officeDocument/2006/relationships/hyperlink" Target="https://www.olx.ua/d/uk/obyavlenie/sm-schaslivih-dnv-IDYXmRT.html" TargetMode="External"/><Relationship Id="rId16" Type="http://schemas.openxmlformats.org/officeDocument/2006/relationships/hyperlink" Target="https://www.bookflea.co/ads/hp1cpbj1d73493os8kr49zij" TargetMode="External"/><Relationship Id="rId17" Type="http://schemas.openxmlformats.org/officeDocument/2006/relationships/hyperlink" Target="https://www.olx.ua/d/uk/obyavlenie/sad-metelikv-dot-gatcheson-ID10RTJp.html" TargetMode="External"/><Relationship Id="rId18" Type="http://schemas.openxmlformats.org/officeDocument/2006/relationships/hyperlink" Target="https://www.bookflea.co/ads/iv4matz5oxb3zu0ow5kd3jfg" TargetMode="External"/><Relationship Id="rId19" Type="http://schemas.openxmlformats.org/officeDocument/2006/relationships/hyperlink" Target="https://www.bookflea.co/ads/e5feh581kxd9qmptme3gt5yz" TargetMode="External"/><Relationship Id="rId20" Type="http://schemas.openxmlformats.org/officeDocument/2006/relationships/hyperlink" Target="https://www.olx.ua/d/uk/obyavlenie/pershiy-mlinets-volna-sitnk-vidavnitstvo-tak-ID11mygp.html" TargetMode="External"/><Relationship Id="rId21" Type="http://schemas.openxmlformats.org/officeDocument/2006/relationships/hyperlink" Target="https://www.bookflea.co/ads/ia7p5fr756cnohcx1hasf6x6" TargetMode="External"/><Relationship Id="rId22" Type="http://schemas.openxmlformats.org/officeDocument/2006/relationships/hyperlink" Target="https://www.olx.ua/d/uk/obyavlenie/wicked-zhittya-ta-chasi-zlo-vdmi-zahodu-reor-mavayr-IDYfg94.html" TargetMode="External"/><Relationship Id="rId23" Type="http://schemas.openxmlformats.org/officeDocument/2006/relationships/hyperlink" Target="https://www.bookflea.co/ads/g8jpswv06cnsznkzeynfxr5o" TargetMode="External"/><Relationship Id="rId24" Type="http://schemas.openxmlformats.org/officeDocument/2006/relationships/hyperlink" Target="https://www.olx.ua/d/uk/obyavlenie/kra-kass-tisyacha-udarv-sertsya-ID1131Zl.html" TargetMode="External"/><Relationship Id="rId25" Type="http://schemas.openxmlformats.org/officeDocument/2006/relationships/hyperlink" Target="https://www.bookflea.co/ads/ci89ljllhpxdqz5s9tq25q0e" TargetMode="External"/><Relationship Id="rId26" Type="http://schemas.openxmlformats.org/officeDocument/2006/relationships/hyperlink" Target="https://www.olx.ua/d/uk/obyavlenie/kniga-fenomen-zara-ID10LVXW.html" TargetMode="External"/><Relationship Id="rId27" Type="http://schemas.openxmlformats.org/officeDocument/2006/relationships/hyperlink" Target="https://www.bookflea.co/ads/supb7n6w2yxpgmcflnuxphzg" TargetMode="External"/><Relationship Id="rId28" Type="http://schemas.openxmlformats.org/officeDocument/2006/relationships/hyperlink" Target="https://www.olx.ua/d/uk/obyavlenie/kniga-zyde-kriga-ID11lDFQ.html" TargetMode="External"/><Relationship Id="rId29" Type="http://schemas.openxmlformats.org/officeDocument/2006/relationships/hyperlink" Target="https://www.bookflea.co/ads/c7g22pkiqmn88d7ncosdz19i" TargetMode="External"/><Relationship Id="rId30" Type="http://schemas.openxmlformats.org/officeDocument/2006/relationships/hyperlink" Target="https://www.olx.ua/d/uk/obyavlenie/u-davny-davnin-buli-stvornnya-kniga-fentez-IDYO3cR.html" TargetMode="External"/><Relationship Id="rId31" Type="http://schemas.openxmlformats.org/officeDocument/2006/relationships/hyperlink" Target="https://www.bookflea.co/ads/t0ieyp6o87svqmlvpw1ma4it" TargetMode="External"/><Relationship Id="rId32" Type="http://schemas.openxmlformats.org/officeDocument/2006/relationships/hyperlink" Target="https://www.olx.ua/d/uk/obyavlenie/pol-kleynman-psihologya-101-ID11lGdO.html" TargetMode="External"/><Relationship Id="rId33" Type="http://schemas.openxmlformats.org/officeDocument/2006/relationships/hyperlink" Target="https://www.bookflea.co/ads/aib5a1o1brt9u9p773h7pj47" TargetMode="External"/><Relationship Id="rId34" Type="http://schemas.openxmlformats.org/officeDocument/2006/relationships/hyperlink" Target="https://www.olx.ua/d/uk/obyavlenie/kniga-bryus-kemeron-z-lyubovyu-vd-klens-ID114bXh.html" TargetMode="External"/><Relationship Id="rId35" Type="http://schemas.openxmlformats.org/officeDocument/2006/relationships/hyperlink" Target="https://www.bookflea.co/ads/r5ylp7jhlhkz5qeyf0ah2egc" TargetMode="External"/><Relationship Id="rId36" Type="http://schemas.openxmlformats.org/officeDocument/2006/relationships/hyperlink" Target="https://www.olx.ua/d/uk/obyavlenie/zhittya-meta-sobaki-ID10NQTM.html" TargetMode="External"/><Relationship Id="rId37" Type="http://schemas.openxmlformats.org/officeDocument/2006/relationships/hyperlink" Target="https://www.bookflea.co/ads/mb2do33b6b6lonknd88njgkd" TargetMode="External"/><Relationship Id="rId38" Type="http://schemas.openxmlformats.org/officeDocument/2006/relationships/hyperlink" Target="https://www.olx.ua/d/uk/obyavlenie/kniga-hronki-narn-povna-storya-charvnogo-svtu-IDZi4oh.html" TargetMode="External"/><Relationship Id="rId39" Type="http://schemas.openxmlformats.org/officeDocument/2006/relationships/hyperlink" Target="https://www.bookflea.co/ads/zfksjuarnw6d29uqjfggbhrj" TargetMode="External"/><Relationship Id="rId40" Type="http://schemas.openxmlformats.org/officeDocument/2006/relationships/hyperlink" Target="https://www.olx.ua/d/uk/obyavlenie/famlyari-steys-golls-kniga-ID11gN7m.html" TargetMode="External"/><Relationship Id="rId41" Type="http://schemas.openxmlformats.org/officeDocument/2006/relationships/hyperlink" Target="https://www.bookflea.co/ads/xdgbqpw209meff94tky7twvp" TargetMode="External"/><Relationship Id="rId42" Type="http://schemas.openxmlformats.org/officeDocument/2006/relationships/hyperlink" Target="https://www.olx.ua/d/uk/obyavlenie/kolln-guver-kstki-sertsya-ID11gFIE.html" TargetMode="External"/><Relationship Id="rId43" Type="http://schemas.openxmlformats.org/officeDocument/2006/relationships/hyperlink" Target="https://www.bookflea.co/ads/n2tk16m8qhxbrfetuuo84uzv" TargetMode="External"/><Relationship Id="rId44" Type="http://schemas.openxmlformats.org/officeDocument/2006/relationships/hyperlink" Target="https://www.olx.ua/d/uk/obyavlenie/dzhennfer-gartmann-poki-btsya-sertse-ID11n3fn.html" TargetMode="External"/><Relationship Id="rId45" Type="http://schemas.openxmlformats.org/officeDocument/2006/relationships/hyperlink" Target="https://www.bookflea.co/ads/b76c9rrmj154k3kgt1rmzp4p" TargetMode="External"/><Relationship Id="rId46" Type="http://schemas.openxmlformats.org/officeDocument/2006/relationships/hyperlink" Target="https://www.olx.ua/d/uk/obyavlenie/zavodniy-apelsin-enton-berdzhess-ID11ivu7.html" TargetMode="External"/><Relationship Id="rId47" Type="http://schemas.openxmlformats.org/officeDocument/2006/relationships/hyperlink" Target="https://www.bookflea.co/ads/cq9kpg4nepvjnj10bawe5o54" TargetMode="External"/><Relationship Id="rId48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42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40"/>
    <col collapsed="false" customWidth="true" hidden="false" outlineLevel="0" max="12" min="11" style="0" width="12"/>
    <col collapsed="false" customWidth="true" hidden="false" outlineLevel="0" max="13" min="13" style="0" width="52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n">
        <v>1</v>
      </c>
      <c r="B2" s="3" t="s">
        <v>13</v>
      </c>
      <c r="C2" s="3" t="s">
        <v>14</v>
      </c>
      <c r="D2" s="4" t="n">
        <v>400</v>
      </c>
      <c r="E2" s="4" t="n">
        <v>122</v>
      </c>
      <c r="F2" s="5" t="n">
        <f aca="false">IF(E2="","",E2-D2)</f>
        <v>-278</v>
      </c>
      <c r="G2" s="6" t="n">
        <f aca="false">IF(OR(E2="",D2=0),"",E2/D2-1)</f>
        <v>-0.695</v>
      </c>
      <c r="H2" s="2" t="str">
        <f aca="false">IF(E2="","",IF(ABS(E2-D2)&lt;=5,"≈ однаково",IF(E2&lt;D2,"OLX","Букфлі")))</f>
        <v>OLX</v>
      </c>
      <c r="I2" s="2" t="n">
        <v>69</v>
      </c>
      <c r="J2" s="3" t="s">
        <v>15</v>
      </c>
      <c r="K2" s="7" t="s">
        <v>16</v>
      </c>
      <c r="L2" s="7" t="s">
        <v>16</v>
      </c>
      <c r="M2" s="8"/>
    </row>
    <row r="3" customFormat="false" ht="23.85" hidden="false" customHeight="false" outlineLevel="0" collapsed="false">
      <c r="A3" s="2" t="n">
        <v>2</v>
      </c>
      <c r="B3" s="3" t="s">
        <v>17</v>
      </c>
      <c r="C3" s="3" t="s">
        <v>18</v>
      </c>
      <c r="D3" s="4" t="n">
        <v>150</v>
      </c>
      <c r="E3" s="4" t="n">
        <v>100</v>
      </c>
      <c r="F3" s="5" t="n">
        <f aca="false">IF(E3="","",E3-D3)</f>
        <v>-50</v>
      </c>
      <c r="G3" s="6" t="n">
        <f aca="false">IF(OR(E3="",D3=0),"",E3/D3-1)</f>
        <v>-0.333333333333333</v>
      </c>
      <c r="H3" s="2" t="str">
        <f aca="false">IF(E3="","",IF(ABS(E3-D3)&lt;=5,"≈ однаково",IF(E3&lt;D3,"OLX","Букфлі")))</f>
        <v>OLX</v>
      </c>
      <c r="I3" s="2" t="n">
        <v>70</v>
      </c>
      <c r="J3" s="3" t="s">
        <v>19</v>
      </c>
      <c r="K3" s="7" t="s">
        <v>16</v>
      </c>
      <c r="L3" s="7" t="s">
        <v>16</v>
      </c>
      <c r="M3" s="8" t="s">
        <v>20</v>
      </c>
    </row>
    <row r="4" customFormat="false" ht="15" hidden="false" customHeight="false" outlineLevel="0" collapsed="false">
      <c r="A4" s="2" t="n">
        <v>3</v>
      </c>
      <c r="B4" s="3" t="s">
        <v>21</v>
      </c>
      <c r="C4" s="3" t="s">
        <v>22</v>
      </c>
      <c r="D4" s="4" t="n">
        <v>280</v>
      </c>
      <c r="E4" s="4" t="n">
        <v>180</v>
      </c>
      <c r="F4" s="5" t="n">
        <f aca="false">IF(E4="","",E4-D4)</f>
        <v>-100</v>
      </c>
      <c r="G4" s="6" t="n">
        <f aca="false">IF(OR(E4="",D4=0),"",E4/D4-1)</f>
        <v>-0.357142857142857</v>
      </c>
      <c r="H4" s="2" t="str">
        <f aca="false">IF(E4="","",IF(ABS(E4-D4)&lt;=5,"≈ однаково",IF(E4&lt;D4,"OLX","Букфлі")))</f>
        <v>OLX</v>
      </c>
      <c r="I4" s="2" t="n">
        <v>59</v>
      </c>
      <c r="J4" s="3" t="s">
        <v>23</v>
      </c>
      <c r="K4" s="7" t="s">
        <v>16</v>
      </c>
      <c r="L4" s="7" t="s">
        <v>16</v>
      </c>
      <c r="M4" s="8"/>
    </row>
    <row r="5" customFormat="false" ht="15" hidden="false" customHeight="false" outlineLevel="0" collapsed="false">
      <c r="A5" s="2" t="n">
        <v>4</v>
      </c>
      <c r="B5" s="3" t="s">
        <v>24</v>
      </c>
      <c r="C5" s="3" t="s">
        <v>25</v>
      </c>
      <c r="D5" s="4" t="n">
        <v>215</v>
      </c>
      <c r="E5" s="4" t="n">
        <v>210</v>
      </c>
      <c r="F5" s="5" t="n">
        <f aca="false">IF(E5="","",E5-D5)</f>
        <v>-5</v>
      </c>
      <c r="G5" s="6" t="n">
        <f aca="false">IF(OR(E5="",D5=0),"",E5/D5-1)</f>
        <v>-0.0232558139534884</v>
      </c>
      <c r="H5" s="2" t="str">
        <f aca="false">IF(E5="","",IF(ABS(E5-D5)&lt;=5,"≈ однаково",IF(E5&lt;D5,"OLX","Букфлі")))</f>
        <v>≈ однаково</v>
      </c>
      <c r="I5" s="2" t="n">
        <v>26</v>
      </c>
      <c r="J5" s="3" t="s">
        <v>26</v>
      </c>
      <c r="K5" s="7" t="s">
        <v>16</v>
      </c>
      <c r="L5" s="7" t="s">
        <v>16</v>
      </c>
      <c r="M5" s="8"/>
    </row>
    <row r="6" customFormat="false" ht="15" hidden="false" customHeight="false" outlineLevel="0" collapsed="false">
      <c r="A6" s="2" t="n">
        <v>5</v>
      </c>
      <c r="B6" s="3" t="s">
        <v>27</v>
      </c>
      <c r="C6" s="3" t="s">
        <v>28</v>
      </c>
      <c r="D6" s="4" t="n">
        <v>400</v>
      </c>
      <c r="E6" s="4" t="n">
        <v>300</v>
      </c>
      <c r="F6" s="5" t="n">
        <f aca="false">IF(E6="","",E6-D6)</f>
        <v>-100</v>
      </c>
      <c r="G6" s="6" t="n">
        <f aca="false">IF(OR(E6="",D6=0),"",E6/D6-1)</f>
        <v>-0.25</v>
      </c>
      <c r="H6" s="2" t="str">
        <f aca="false">IF(E6="","",IF(ABS(E6-D6)&lt;=5,"≈ однаково",IF(E6&lt;D6,"OLX","Букфлі")))</f>
        <v>OLX</v>
      </c>
      <c r="I6" s="2" t="n">
        <v>28</v>
      </c>
      <c r="J6" s="3" t="s">
        <v>29</v>
      </c>
      <c r="K6" s="7" t="s">
        <v>16</v>
      </c>
      <c r="L6" s="7" t="s">
        <v>16</v>
      </c>
      <c r="M6" s="8" t="s">
        <v>30</v>
      </c>
    </row>
    <row r="7" customFormat="false" ht="23.85" hidden="false" customHeight="false" outlineLevel="0" collapsed="false">
      <c r="A7" s="2" t="n">
        <v>6</v>
      </c>
      <c r="B7" s="3" t="s">
        <v>17</v>
      </c>
      <c r="C7" s="3" t="s">
        <v>31</v>
      </c>
      <c r="D7" s="4" t="n">
        <v>1000</v>
      </c>
      <c r="E7" s="4" t="n">
        <v>580</v>
      </c>
      <c r="F7" s="5" t="n">
        <f aca="false">IF(E7="","",E7-D7)</f>
        <v>-420</v>
      </c>
      <c r="G7" s="6" t="n">
        <f aca="false">IF(OR(E7="",D7=0),"",E7/D7-1)</f>
        <v>-0.42</v>
      </c>
      <c r="H7" s="2" t="str">
        <f aca="false">IF(E7="","",IF(ABS(E7-D7)&lt;=5,"≈ однаково",IF(E7&lt;D7,"OLX","Букфлі")))</f>
        <v>OLX</v>
      </c>
      <c r="I7" s="2" t="n">
        <v>20</v>
      </c>
      <c r="J7" s="3" t="s">
        <v>32</v>
      </c>
      <c r="K7" s="7" t="s">
        <v>16</v>
      </c>
      <c r="L7" s="7" t="s">
        <v>16</v>
      </c>
      <c r="M7" s="8" t="s">
        <v>33</v>
      </c>
    </row>
    <row r="8" customFormat="false" ht="23.85" hidden="false" customHeight="false" outlineLevel="0" collapsed="false">
      <c r="A8" s="2" t="n">
        <v>7</v>
      </c>
      <c r="B8" s="3" t="s">
        <v>34</v>
      </c>
      <c r="C8" s="3" t="s">
        <v>35</v>
      </c>
      <c r="D8" s="4" t="n">
        <v>600</v>
      </c>
      <c r="E8" s="4" t="n">
        <v>110</v>
      </c>
      <c r="F8" s="5" t="n">
        <f aca="false">IF(E8="","",E8-D8)</f>
        <v>-490</v>
      </c>
      <c r="G8" s="6" t="n">
        <f aca="false">IF(OR(E8="",D8=0),"",E8/D8-1)</f>
        <v>-0.816666666666667</v>
      </c>
      <c r="H8" s="2" t="str">
        <f aca="false">IF(E8="","",IF(ABS(E8-D8)&lt;=5,"≈ однаково",IF(E8&lt;D8,"OLX","Букфлі")))</f>
        <v>OLX</v>
      </c>
      <c r="I8" s="2" t="n">
        <v>41</v>
      </c>
      <c r="J8" s="3" t="s">
        <v>36</v>
      </c>
      <c r="K8" s="7" t="s">
        <v>16</v>
      </c>
      <c r="L8" s="7" t="s">
        <v>16</v>
      </c>
      <c r="M8" s="8" t="s">
        <v>37</v>
      </c>
    </row>
    <row r="9" customFormat="false" ht="15" hidden="false" customHeight="false" outlineLevel="0" collapsed="false">
      <c r="A9" s="2" t="n">
        <v>8</v>
      </c>
      <c r="B9" s="3" t="s">
        <v>38</v>
      </c>
      <c r="C9" s="3" t="s">
        <v>39</v>
      </c>
      <c r="D9" s="4" t="n">
        <v>95</v>
      </c>
      <c r="E9" s="4" t="n">
        <v>100</v>
      </c>
      <c r="F9" s="5" t="n">
        <f aca="false">IF(E9="","",E9-D9)</f>
        <v>5</v>
      </c>
      <c r="G9" s="6" t="n">
        <f aca="false">IF(OR(E9="",D9=0),"",E9/D9-1)</f>
        <v>0.0526315789473684</v>
      </c>
      <c r="H9" s="2" t="str">
        <f aca="false">IF(E9="","",IF(ABS(E9-D9)&lt;=5,"≈ однаково",IF(E9&lt;D9,"OLX","Букфлі")))</f>
        <v>≈ однаково</v>
      </c>
      <c r="I9" s="2" t="n">
        <v>21</v>
      </c>
      <c r="J9" s="3" t="s">
        <v>39</v>
      </c>
      <c r="K9" s="7" t="s">
        <v>16</v>
      </c>
      <c r="L9" s="7" t="s">
        <v>16</v>
      </c>
      <c r="M9" s="8"/>
    </row>
    <row r="10" customFormat="false" ht="15" hidden="false" customHeight="false" outlineLevel="0" collapsed="false">
      <c r="A10" s="2" t="n">
        <v>9</v>
      </c>
      <c r="B10" s="3" t="s">
        <v>40</v>
      </c>
      <c r="C10" s="3" t="s">
        <v>41</v>
      </c>
      <c r="D10" s="4" t="n">
        <v>120</v>
      </c>
      <c r="E10" s="4" t="n">
        <v>100</v>
      </c>
      <c r="F10" s="5" t="n">
        <f aca="false">IF(E10="","",E10-D10)</f>
        <v>-20</v>
      </c>
      <c r="G10" s="6" t="n">
        <f aca="false">IF(OR(E10="",D10=0),"",E10/D10-1)</f>
        <v>-0.166666666666667</v>
      </c>
      <c r="H10" s="2" t="str">
        <f aca="false">IF(E10="","",IF(ABS(E10-D10)&lt;=5,"≈ однаково",IF(E10&lt;D10,"OLX","Букфлі")))</f>
        <v>OLX</v>
      </c>
      <c r="I10" s="2" t="n">
        <v>20</v>
      </c>
      <c r="J10" s="3" t="s">
        <v>42</v>
      </c>
      <c r="K10" s="7" t="s">
        <v>16</v>
      </c>
      <c r="L10" s="7" t="s">
        <v>16</v>
      </c>
      <c r="M10" s="8"/>
    </row>
    <row r="11" customFormat="false" ht="15" hidden="false" customHeight="false" outlineLevel="0" collapsed="false">
      <c r="A11" s="2" t="n">
        <v>10</v>
      </c>
      <c r="B11" s="3" t="s">
        <v>43</v>
      </c>
      <c r="C11" s="3" t="s">
        <v>44</v>
      </c>
      <c r="D11" s="4" t="n">
        <v>70</v>
      </c>
      <c r="E11" s="4" t="s">
        <v>45</v>
      </c>
      <c r="F11" s="5" t="s">
        <v>45</v>
      </c>
      <c r="G11" s="6" t="s">
        <v>45</v>
      </c>
      <c r="H11" s="2" t="s">
        <v>46</v>
      </c>
      <c r="I11" s="2" t="n">
        <v>0</v>
      </c>
      <c r="J11" s="3" t="s">
        <v>45</v>
      </c>
      <c r="K11" s="9" t="s">
        <v>45</v>
      </c>
      <c r="L11" s="7" t="s">
        <v>16</v>
      </c>
      <c r="M11" s="8" t="s">
        <v>47</v>
      </c>
    </row>
    <row r="12" customFormat="false" ht="23.85" hidden="false" customHeight="false" outlineLevel="0" collapsed="false">
      <c r="A12" s="2" t="n">
        <v>11</v>
      </c>
      <c r="B12" s="3" t="s">
        <v>48</v>
      </c>
      <c r="C12" s="3" t="s">
        <v>49</v>
      </c>
      <c r="D12" s="4" t="n">
        <v>150</v>
      </c>
      <c r="E12" s="4" t="n">
        <v>250</v>
      </c>
      <c r="F12" s="5" t="n">
        <f aca="false">IF(E12="","",E12-D12)</f>
        <v>100</v>
      </c>
      <c r="G12" s="6" t="n">
        <f aca="false">IF(OR(E12="",D12=0),"",E12/D12-1)</f>
        <v>0.666666666666667</v>
      </c>
      <c r="H12" s="2" t="str">
        <f aca="false">IF(E12="","",IF(ABS(E12-D12)&lt;=5,"≈ однаково",IF(E12&lt;D12,"OLX","Букфлі")))</f>
        <v>Букфлі</v>
      </c>
      <c r="I12" s="2" t="n">
        <v>3</v>
      </c>
      <c r="J12" s="3" t="s">
        <v>50</v>
      </c>
      <c r="K12" s="7" t="s">
        <v>16</v>
      </c>
      <c r="L12" s="7" t="s">
        <v>16</v>
      </c>
      <c r="M12" s="8" t="s">
        <v>51</v>
      </c>
    </row>
    <row r="13" customFormat="false" ht="23.85" hidden="false" customHeight="false" outlineLevel="0" collapsed="false">
      <c r="A13" s="2" t="n">
        <v>12</v>
      </c>
      <c r="B13" s="3" t="s">
        <v>52</v>
      </c>
      <c r="C13" s="3" t="s">
        <v>53</v>
      </c>
      <c r="D13" s="4" t="n">
        <v>325</v>
      </c>
      <c r="E13" s="4" t="n">
        <v>225</v>
      </c>
      <c r="F13" s="5" t="n">
        <f aca="false">IF(E13="","",E13-D13)</f>
        <v>-100</v>
      </c>
      <c r="G13" s="6" t="n">
        <f aca="false">IF(OR(E13="",D13=0),"",E13/D13-1)</f>
        <v>-0.307692307692308</v>
      </c>
      <c r="H13" s="2" t="str">
        <f aca="false">IF(E13="","",IF(ABS(E13-D13)&lt;=5,"≈ однаково",IF(E13&lt;D13,"OLX","Букфлі")))</f>
        <v>OLX</v>
      </c>
      <c r="I13" s="2" t="n">
        <v>29</v>
      </c>
      <c r="J13" s="3" t="s">
        <v>54</v>
      </c>
      <c r="K13" s="7" t="s">
        <v>16</v>
      </c>
      <c r="L13" s="7" t="s">
        <v>16</v>
      </c>
      <c r="M13" s="8"/>
    </row>
    <row r="14" customFormat="false" ht="15" hidden="false" customHeight="false" outlineLevel="0" collapsed="false">
      <c r="A14" s="2" t="n">
        <v>13</v>
      </c>
      <c r="B14" s="3" t="s">
        <v>55</v>
      </c>
      <c r="C14" s="3" t="s">
        <v>56</v>
      </c>
      <c r="D14" s="4" t="n">
        <v>225</v>
      </c>
      <c r="E14" s="4" t="n">
        <v>150</v>
      </c>
      <c r="F14" s="5" t="n">
        <f aca="false">IF(E14="","",E14-D14)</f>
        <v>-75</v>
      </c>
      <c r="G14" s="6" t="n">
        <f aca="false">IF(OR(E14="",D14=0),"",E14/D14-1)</f>
        <v>-0.333333333333333</v>
      </c>
      <c r="H14" s="2" t="str">
        <f aca="false">IF(E14="","",IF(ABS(E14-D14)&lt;=5,"≈ однаково",IF(E14&lt;D14,"OLX","Букфлі")))</f>
        <v>OLX</v>
      </c>
      <c r="I14" s="2" t="n">
        <v>75</v>
      </c>
      <c r="J14" s="3" t="s">
        <v>57</v>
      </c>
      <c r="K14" s="7" t="s">
        <v>16</v>
      </c>
      <c r="L14" s="7" t="s">
        <v>16</v>
      </c>
      <c r="M14" s="8"/>
    </row>
    <row r="15" customFormat="false" ht="15" hidden="false" customHeight="false" outlineLevel="0" collapsed="false">
      <c r="A15" s="2" t="n">
        <v>14</v>
      </c>
      <c r="B15" s="3" t="s">
        <v>58</v>
      </c>
      <c r="C15" s="3" t="s">
        <v>59</v>
      </c>
      <c r="D15" s="4" t="n">
        <v>150</v>
      </c>
      <c r="E15" s="4" t="n">
        <v>100</v>
      </c>
      <c r="F15" s="5" t="n">
        <f aca="false">IF(E15="","",E15-D15)</f>
        <v>-50</v>
      </c>
      <c r="G15" s="6" t="n">
        <f aca="false">IF(OR(E15="",D15=0),"",E15/D15-1)</f>
        <v>-0.333333333333333</v>
      </c>
      <c r="H15" s="2" t="str">
        <f aca="false">IF(E15="","",IF(ABS(E15-D15)&lt;=5,"≈ однаково",IF(E15&lt;D15,"OLX","Букфлі")))</f>
        <v>OLX</v>
      </c>
      <c r="I15" s="2" t="n">
        <v>31</v>
      </c>
      <c r="J15" s="3" t="s">
        <v>60</v>
      </c>
      <c r="K15" s="7" t="s">
        <v>16</v>
      </c>
      <c r="L15" s="7" t="s">
        <v>16</v>
      </c>
      <c r="M15" s="8"/>
    </row>
    <row r="16" customFormat="false" ht="15" hidden="false" customHeight="false" outlineLevel="0" collapsed="false">
      <c r="A16" s="2" t="n">
        <v>15</v>
      </c>
      <c r="B16" s="3" t="s">
        <v>61</v>
      </c>
      <c r="C16" s="3" t="s">
        <v>62</v>
      </c>
      <c r="D16" s="4" t="n">
        <v>400</v>
      </c>
      <c r="E16" s="4" t="n">
        <v>170</v>
      </c>
      <c r="F16" s="5" t="n">
        <f aca="false">IF(E16="","",E16-D16)</f>
        <v>-230</v>
      </c>
      <c r="G16" s="6" t="n">
        <f aca="false">IF(OR(E16="",D16=0),"",E16/D16-1)</f>
        <v>-0.575</v>
      </c>
      <c r="H16" s="2" t="str">
        <f aca="false">IF(E16="","",IF(ABS(E16-D16)&lt;=5,"≈ однаково",IF(E16&lt;D16,"OLX","Букфлі")))</f>
        <v>OLX</v>
      </c>
      <c r="I16" s="2" t="n">
        <v>90</v>
      </c>
      <c r="J16" s="3" t="s">
        <v>63</v>
      </c>
      <c r="K16" s="7" t="s">
        <v>16</v>
      </c>
      <c r="L16" s="7" t="s">
        <v>16</v>
      </c>
      <c r="M16" s="8"/>
    </row>
    <row r="17" customFormat="false" ht="23.85" hidden="false" customHeight="false" outlineLevel="0" collapsed="false">
      <c r="A17" s="2" t="n">
        <v>16</v>
      </c>
      <c r="B17" s="3" t="s">
        <v>64</v>
      </c>
      <c r="C17" s="3" t="s">
        <v>65</v>
      </c>
      <c r="D17" s="4" t="n">
        <v>100</v>
      </c>
      <c r="E17" s="4" t="n">
        <v>100</v>
      </c>
      <c r="F17" s="5" t="n">
        <f aca="false">IF(E17="","",E17-D17)</f>
        <v>0</v>
      </c>
      <c r="G17" s="6" t="n">
        <f aca="false">IF(OR(E17="",D17=0),"",E17/D17-1)</f>
        <v>0</v>
      </c>
      <c r="H17" s="2" t="str">
        <f aca="false">IF(E17="","",IF(ABS(E17-D17)&lt;=5,"≈ однаково",IF(E17&lt;D17,"OLX","Букфлі")))</f>
        <v>≈ однаково</v>
      </c>
      <c r="I17" s="2" t="n">
        <v>61</v>
      </c>
      <c r="J17" s="3" t="s">
        <v>66</v>
      </c>
      <c r="K17" s="7" t="s">
        <v>16</v>
      </c>
      <c r="L17" s="7" t="s">
        <v>16</v>
      </c>
      <c r="M17" s="8"/>
    </row>
    <row r="18" customFormat="false" ht="15" hidden="false" customHeight="false" outlineLevel="0" collapsed="false">
      <c r="A18" s="2" t="n">
        <v>17</v>
      </c>
      <c r="B18" s="3" t="s">
        <v>67</v>
      </c>
      <c r="C18" s="3" t="s">
        <v>68</v>
      </c>
      <c r="D18" s="4" t="n">
        <v>150</v>
      </c>
      <c r="E18" s="4" t="n">
        <v>100</v>
      </c>
      <c r="F18" s="5" t="n">
        <f aca="false">IF(E18="","",E18-D18)</f>
        <v>-50</v>
      </c>
      <c r="G18" s="6" t="n">
        <f aca="false">IF(OR(E18="",D18=0),"",E18/D18-1)</f>
        <v>-0.333333333333333</v>
      </c>
      <c r="H18" s="2" t="str">
        <f aca="false">IF(E18="","",IF(ABS(E18-D18)&lt;=5,"≈ однаково",IF(E18&lt;D18,"OLX","Букфлі")))</f>
        <v>OLX</v>
      </c>
      <c r="I18" s="2" t="n">
        <v>26</v>
      </c>
      <c r="J18" s="3" t="s">
        <v>69</v>
      </c>
      <c r="K18" s="7" t="s">
        <v>16</v>
      </c>
      <c r="L18" s="7" t="s">
        <v>16</v>
      </c>
      <c r="M18" s="8"/>
    </row>
    <row r="19" customFormat="false" ht="23.85" hidden="false" customHeight="false" outlineLevel="0" collapsed="false">
      <c r="A19" s="2" t="n">
        <v>18</v>
      </c>
      <c r="B19" s="3" t="s">
        <v>70</v>
      </c>
      <c r="C19" s="3" t="s">
        <v>71</v>
      </c>
      <c r="D19" s="4" t="n">
        <v>105</v>
      </c>
      <c r="E19" s="4" t="n">
        <v>100</v>
      </c>
      <c r="F19" s="5" t="n">
        <f aca="false">IF(E19="","",E19-D19)</f>
        <v>-5</v>
      </c>
      <c r="G19" s="6" t="n">
        <f aca="false">IF(OR(E19="",D19=0),"",E19/D19-1)</f>
        <v>-0.0476190476190477</v>
      </c>
      <c r="H19" s="2" t="str">
        <f aca="false">IF(E19="","",IF(ABS(E19-D19)&lt;=5,"≈ однаково",IF(E19&lt;D19,"OLX","Букфлі")))</f>
        <v>≈ однаково</v>
      </c>
      <c r="I19" s="2" t="n">
        <v>14</v>
      </c>
      <c r="J19" s="3" t="s">
        <v>72</v>
      </c>
      <c r="K19" s="7" t="s">
        <v>16</v>
      </c>
      <c r="L19" s="7" t="s">
        <v>16</v>
      </c>
      <c r="M19" s="8"/>
    </row>
    <row r="20" customFormat="false" ht="15" hidden="false" customHeight="false" outlineLevel="0" collapsed="false">
      <c r="A20" s="2" t="n">
        <v>19</v>
      </c>
      <c r="B20" s="3" t="s">
        <v>70</v>
      </c>
      <c r="C20" s="3" t="s">
        <v>73</v>
      </c>
      <c r="D20" s="4" t="n">
        <v>100</v>
      </c>
      <c r="E20" s="4" t="n">
        <v>100</v>
      </c>
      <c r="F20" s="5" t="n">
        <f aca="false">IF(E20="","",E20-D20)</f>
        <v>0</v>
      </c>
      <c r="G20" s="6" t="n">
        <f aca="false">IF(OR(E20="",D20=0),"",E20/D20-1)</f>
        <v>0</v>
      </c>
      <c r="H20" s="2" t="str">
        <f aca="false">IF(E20="","",IF(ABS(E20-D20)&lt;=5,"≈ однаково",IF(E20&lt;D20,"OLX","Букфлі")))</f>
        <v>≈ однаково</v>
      </c>
      <c r="I20" s="2" t="n">
        <v>30</v>
      </c>
      <c r="J20" s="3" t="s">
        <v>73</v>
      </c>
      <c r="K20" s="7" t="s">
        <v>16</v>
      </c>
      <c r="L20" s="7" t="s">
        <v>16</v>
      </c>
      <c r="M20" s="8"/>
    </row>
    <row r="21" customFormat="false" ht="23.85" hidden="false" customHeight="false" outlineLevel="0" collapsed="false">
      <c r="A21" s="2" t="n">
        <v>20</v>
      </c>
      <c r="B21" s="3" t="s">
        <v>74</v>
      </c>
      <c r="C21" s="3" t="s">
        <v>75</v>
      </c>
      <c r="D21" s="4" t="n">
        <v>385</v>
      </c>
      <c r="E21" s="4" t="n">
        <v>299</v>
      </c>
      <c r="F21" s="5" t="n">
        <f aca="false">IF(E21="","",E21-D21)</f>
        <v>-86</v>
      </c>
      <c r="G21" s="6" t="n">
        <f aca="false">IF(OR(E21="",D21=0),"",E21/D21-1)</f>
        <v>-0.223376623376623</v>
      </c>
      <c r="H21" s="2" t="str">
        <f aca="false">IF(E21="","",IF(ABS(E21-D21)&lt;=5,"≈ однаково",IF(E21&lt;D21,"OLX","Букфлі")))</f>
        <v>OLX</v>
      </c>
      <c r="I21" s="2" t="n">
        <v>8</v>
      </c>
      <c r="J21" s="3" t="s">
        <v>76</v>
      </c>
      <c r="K21" s="7" t="s">
        <v>16</v>
      </c>
      <c r="L21" s="7" t="s">
        <v>16</v>
      </c>
      <c r="M21" s="8" t="s">
        <v>77</v>
      </c>
    </row>
    <row r="22" customFormat="false" ht="15" hidden="false" customHeight="false" outlineLevel="0" collapsed="false">
      <c r="A22" s="2" t="n">
        <v>21</v>
      </c>
      <c r="B22" s="3" t="s">
        <v>78</v>
      </c>
      <c r="C22" s="3" t="s">
        <v>79</v>
      </c>
      <c r="D22" s="4" t="n">
        <v>150</v>
      </c>
      <c r="E22" s="4" t="n">
        <v>100</v>
      </c>
      <c r="F22" s="5" t="n">
        <f aca="false">IF(E22="","",E22-D22)</f>
        <v>-50</v>
      </c>
      <c r="G22" s="6" t="n">
        <f aca="false">IF(OR(E22="",D22=0),"",E22/D22-1)</f>
        <v>-0.333333333333333</v>
      </c>
      <c r="H22" s="2" t="str">
        <f aca="false">IF(E22="","",IF(ABS(E22-D22)&lt;=5,"≈ однаково",IF(E22&lt;D22,"OLX","Букфлі")))</f>
        <v>OLX</v>
      </c>
      <c r="I22" s="2" t="n">
        <v>32</v>
      </c>
      <c r="J22" s="3" t="s">
        <v>80</v>
      </c>
      <c r="K22" s="7" t="s">
        <v>16</v>
      </c>
      <c r="L22" s="7" t="s">
        <v>16</v>
      </c>
      <c r="M22" s="8"/>
    </row>
    <row r="23" customFormat="false" ht="15" hidden="false" customHeight="false" outlineLevel="0" collapsed="false">
      <c r="A23" s="2" t="n">
        <v>22</v>
      </c>
      <c r="B23" s="3" t="s">
        <v>81</v>
      </c>
      <c r="C23" s="3" t="s">
        <v>82</v>
      </c>
      <c r="D23" s="4" t="n">
        <v>300</v>
      </c>
      <c r="E23" s="4" t="n">
        <v>199</v>
      </c>
      <c r="F23" s="5" t="n">
        <f aca="false">IF(E23="","",E23-D23)</f>
        <v>-101</v>
      </c>
      <c r="G23" s="6" t="n">
        <f aca="false">IF(OR(E23="",D23=0),"",E23/D23-1)</f>
        <v>-0.336666666666667</v>
      </c>
      <c r="H23" s="2" t="str">
        <f aca="false">IF(E23="","",IF(ABS(E23-D23)&lt;=5,"≈ однаково",IF(E23&lt;D23,"OLX","Букфлі")))</f>
        <v>OLX</v>
      </c>
      <c r="I23" s="2" t="n">
        <v>30</v>
      </c>
      <c r="J23" s="3" t="s">
        <v>83</v>
      </c>
      <c r="K23" s="7" t="s">
        <v>16</v>
      </c>
      <c r="L23" s="7" t="s">
        <v>16</v>
      </c>
      <c r="M23" s="8"/>
    </row>
    <row r="24" customFormat="false" ht="15" hidden="false" customHeight="false" outlineLevel="0" collapsed="false">
      <c r="A24" s="2" t="n">
        <v>23</v>
      </c>
      <c r="B24" s="3" t="s">
        <v>84</v>
      </c>
      <c r="C24" s="3" t="s">
        <v>85</v>
      </c>
      <c r="D24" s="4" t="n">
        <v>200</v>
      </c>
      <c r="E24" s="4" t="n">
        <v>325</v>
      </c>
      <c r="F24" s="5" t="n">
        <f aca="false">IF(E24="","",E24-D24)</f>
        <v>125</v>
      </c>
      <c r="G24" s="6" t="n">
        <f aca="false">IF(OR(E24="",D24=0),"",E24/D24-1)</f>
        <v>0.625</v>
      </c>
      <c r="H24" s="2" t="str">
        <f aca="false">IF(E24="","",IF(ABS(E24-D24)&lt;=5,"≈ однаково",IF(E24&lt;D24,"OLX","Букфлі")))</f>
        <v>Букфлі</v>
      </c>
      <c r="I24" s="2" t="n">
        <v>3</v>
      </c>
      <c r="J24" s="3" t="s">
        <v>86</v>
      </c>
      <c r="K24" s="7" t="s">
        <v>16</v>
      </c>
      <c r="L24" s="7" t="s">
        <v>16</v>
      </c>
      <c r="M24" s="8" t="s">
        <v>51</v>
      </c>
    </row>
    <row r="25" customFormat="false" ht="15" hidden="false" customHeight="false" outlineLevel="0" collapsed="false">
      <c r="A25" s="2" t="n">
        <v>24</v>
      </c>
      <c r="B25" s="3" t="s">
        <v>87</v>
      </c>
      <c r="C25" s="3" t="s">
        <v>88</v>
      </c>
      <c r="D25" s="4" t="n">
        <v>200</v>
      </c>
      <c r="E25" s="4" t="n">
        <v>200</v>
      </c>
      <c r="F25" s="5" t="n">
        <f aca="false">IF(E25="","",E25-D25)</f>
        <v>0</v>
      </c>
      <c r="G25" s="6" t="n">
        <f aca="false">IF(OR(E25="",D25=0),"",E25/D25-1)</f>
        <v>0</v>
      </c>
      <c r="H25" s="2" t="str">
        <f aca="false">IF(E25="","",IF(ABS(E25-D25)&lt;=5,"≈ однаково",IF(E25&lt;D25,"OLX","Букфлі")))</f>
        <v>≈ однаково</v>
      </c>
      <c r="I25" s="2" t="n">
        <v>6</v>
      </c>
      <c r="J25" s="3" t="s">
        <v>89</v>
      </c>
      <c r="K25" s="7" t="s">
        <v>16</v>
      </c>
      <c r="L25" s="7" t="s">
        <v>16</v>
      </c>
      <c r="M25" s="8"/>
    </row>
    <row r="27" customFormat="false" ht="15" hidden="false" customHeight="false" outlineLevel="0" collapsed="false">
      <c r="C27" s="10" t="s">
        <v>90</v>
      </c>
      <c r="D27" s="11" t="n">
        <f aca="false">SUM(D2:D25)</f>
        <v>6270</v>
      </c>
      <c r="E27" s="10" t="n">
        <f aca="false">SUMIF(E2:E25,"&lt;&gt;—")</f>
        <v>4220</v>
      </c>
    </row>
    <row r="28" customFormat="false" ht="15" hidden="false" customHeight="false" outlineLevel="0" collapsed="false">
      <c r="C28" s="10" t="s">
        <v>91</v>
      </c>
      <c r="D28" s="11" t="n">
        <f aca="false">COUNTIF(H2:H25,"OLX")</f>
        <v>15</v>
      </c>
    </row>
    <row r="29" customFormat="false" ht="15" hidden="false" customHeight="false" outlineLevel="0" collapsed="false">
      <c r="C29" s="10" t="s">
        <v>92</v>
      </c>
      <c r="D29" s="11" t="n">
        <f aca="false">COUNTIF(H2:H25,"Букфлі")</f>
        <v>2</v>
      </c>
    </row>
    <row r="30" customFormat="false" ht="15" hidden="false" customHeight="false" outlineLevel="0" collapsed="false">
      <c r="C30" s="10" t="s">
        <v>93</v>
      </c>
      <c r="D30" s="11" t="n">
        <f aca="false">COUNTIF(H2:H25,"≈ однаково")</f>
        <v>6</v>
      </c>
    </row>
    <row r="31" customFormat="false" ht="15" hidden="false" customHeight="false" outlineLevel="0" collapsed="false">
      <c r="C31" s="10" t="s">
        <v>94</v>
      </c>
      <c r="D31" s="11" t="n">
        <f aca="false">COUNTIF(H2:H25,"лише Букфлі")</f>
        <v>1</v>
      </c>
    </row>
  </sheetData>
  <autoFilter ref="A1:M25"/>
  <hyperlinks>
    <hyperlink ref="K2" r:id="rId1" display="відкрити"/>
    <hyperlink ref="L2" r:id="rId2" display="відкрити"/>
    <hyperlink ref="K3" r:id="rId3" display="відкрити"/>
    <hyperlink ref="L3" r:id="rId4" display="відкрити"/>
    <hyperlink ref="K4" r:id="rId5" display="відкрити"/>
    <hyperlink ref="L4" r:id="rId6" display="відкрити"/>
    <hyperlink ref="K5" r:id="rId7" display="відкрити"/>
    <hyperlink ref="L5" r:id="rId8" display="відкрити"/>
    <hyperlink ref="K6" r:id="rId9" display="відкрити"/>
    <hyperlink ref="L6" r:id="rId10" display="відкрити"/>
    <hyperlink ref="K7" r:id="rId11" display="відкрити"/>
    <hyperlink ref="L7" r:id="rId12" display="відкрити"/>
    <hyperlink ref="K8" r:id="rId13" display="відкрити"/>
    <hyperlink ref="L8" r:id="rId14" display="відкрити"/>
    <hyperlink ref="K9" r:id="rId15" display="відкрити"/>
    <hyperlink ref="L9" r:id="rId16" display="відкрити"/>
    <hyperlink ref="K10" r:id="rId17" display="відкрити"/>
    <hyperlink ref="L10" r:id="rId18" display="відкрити"/>
    <hyperlink ref="L11" r:id="rId19" display="відкрити"/>
    <hyperlink ref="K12" r:id="rId20" display="відкрити"/>
    <hyperlink ref="L12" r:id="rId21" display="відкрити"/>
    <hyperlink ref="K13" r:id="rId22" display="відкрити"/>
    <hyperlink ref="L13" r:id="rId23" display="відкрити"/>
    <hyperlink ref="K14" r:id="rId24" display="відкрити"/>
    <hyperlink ref="L14" r:id="rId25" display="відкрити"/>
    <hyperlink ref="K15" r:id="rId26" display="відкрити"/>
    <hyperlink ref="L15" r:id="rId27" display="відкрити"/>
    <hyperlink ref="K16" r:id="rId28" display="відкрити"/>
    <hyperlink ref="L16" r:id="rId29" display="відкрити"/>
    <hyperlink ref="K17" r:id="rId30" display="відкрити"/>
    <hyperlink ref="L17" r:id="rId31" display="відкрити"/>
    <hyperlink ref="K18" r:id="rId32" display="відкрити"/>
    <hyperlink ref="L18" r:id="rId33" display="відкрити"/>
    <hyperlink ref="K19" r:id="rId34" display="відкрити"/>
    <hyperlink ref="L19" r:id="rId35" display="відкрити"/>
    <hyperlink ref="K20" r:id="rId36" display="відкрити"/>
    <hyperlink ref="L20" r:id="rId37" display="відкрити"/>
    <hyperlink ref="K21" r:id="rId38" display="відкрити"/>
    <hyperlink ref="L21" r:id="rId39" display="відкрити"/>
    <hyperlink ref="K22" r:id="rId40" display="відкрити"/>
    <hyperlink ref="L22" r:id="rId41" display="відкрити"/>
    <hyperlink ref="K23" r:id="rId42" display="відкрити"/>
    <hyperlink ref="L23" r:id="rId43" display="відкрити"/>
    <hyperlink ref="K24" r:id="rId44" display="відкрити"/>
    <hyperlink ref="L24" r:id="rId45" display="відкрити"/>
    <hyperlink ref="K25" r:id="rId46" display="відкрити"/>
    <hyperlink ref="L25" r:id="rId47" display="відкрити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8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2" t="s">
        <v>95</v>
      </c>
    </row>
    <row r="2" customFormat="false" ht="15" hidden="false" customHeight="false" outlineLevel="0" collapsed="false">
      <c r="A2" s="13" t="s">
        <v>96</v>
      </c>
    </row>
    <row r="3" customFormat="false" ht="15" hidden="false" customHeight="false" outlineLevel="0" collapsed="false">
      <c r="A3" s="13"/>
    </row>
    <row r="4" customFormat="false" ht="15" hidden="false" customHeight="false" outlineLevel="0" collapsed="false">
      <c r="A4" s="12" t="s">
        <v>97</v>
      </c>
    </row>
    <row r="5" customFormat="false" ht="15" hidden="false" customHeight="false" outlineLevel="0" collapsed="false">
      <c r="A5" s="13" t="s">
        <v>98</v>
      </c>
    </row>
    <row r="6" customFormat="false" ht="15" hidden="false" customHeight="false" outlineLevel="0" collapsed="false">
      <c r="A6" s="13" t="s">
        <v>99</v>
      </c>
    </row>
    <row r="7" customFormat="false" ht="15" hidden="false" customHeight="false" outlineLevel="0" collapsed="false">
      <c r="A7" s="13" t="s">
        <v>100</v>
      </c>
    </row>
    <row r="8" customFormat="false" ht="15" hidden="false" customHeight="false" outlineLevel="0" collapsed="false">
      <c r="A8" s="13" t="s">
        <v>101</v>
      </c>
    </row>
    <row r="9" customFormat="false" ht="15" hidden="false" customHeight="false" outlineLevel="0" collapsed="false">
      <c r="A9" s="13" t="s">
        <v>102</v>
      </c>
    </row>
    <row r="10" customFormat="false" ht="15" hidden="false" customHeight="false" outlineLevel="0" collapsed="false">
      <c r="A10" s="13"/>
    </row>
    <row r="11" customFormat="false" ht="15" hidden="false" customHeight="false" outlineLevel="0" collapsed="false">
      <c r="A11" s="12" t="s">
        <v>103</v>
      </c>
    </row>
    <row r="12" customFormat="false" ht="15" hidden="false" customHeight="false" outlineLevel="0" collapsed="false">
      <c r="A12" s="13" t="s">
        <v>104</v>
      </c>
    </row>
    <row r="13" customFormat="false" ht="15" hidden="false" customHeight="false" outlineLevel="0" collapsed="false">
      <c r="A13" s="13" t="s">
        <v>105</v>
      </c>
    </row>
    <row r="14" customFormat="false" ht="15" hidden="false" customHeight="false" outlineLevel="0" collapsed="false">
      <c r="A14" s="13" t="s">
        <v>106</v>
      </c>
    </row>
    <row r="15" customFormat="false" ht="15" hidden="false" customHeight="false" outlineLevel="0" collapsed="false">
      <c r="A15" s="13"/>
    </row>
    <row r="16" customFormat="false" ht="15" hidden="false" customHeight="false" outlineLevel="0" collapsed="false">
      <c r="A16" s="12" t="s">
        <v>107</v>
      </c>
    </row>
    <row r="17" customFormat="false" ht="15" hidden="false" customHeight="false" outlineLevel="0" collapsed="false">
      <c r="A17" s="13" t="s">
        <v>108</v>
      </c>
    </row>
    <row r="18" customFormat="false" ht="15" hidden="false" customHeight="false" outlineLevel="0" collapsed="false">
      <c r="A18" s="13" t="s">
        <v>109</v>
      </c>
    </row>
    <row r="19" customFormat="false" ht="15" hidden="false" customHeight="false" outlineLevel="0" collapsed="false">
      <c r="A19" s="13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2026-10-01T11:49:45Z</dcterms:created>
  <dc:creator>openpyxl</dc:creator>
  <dc:description/>
  <dc:language>en-US</dc:language>
  <cp:lastModifiedBy/>
  <dcterms:modified xsi:type="dcterms:W3CDTF">2026-10-01T11:49:45Z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